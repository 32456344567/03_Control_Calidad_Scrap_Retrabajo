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L_Criterios_Calidad_Piso" sheetId="1" state="visible" r:id="rId1"/>
    <sheet xmlns:r="http://schemas.openxmlformats.org/officeDocument/2006/relationships" name="Resumen_Ejecutivo_COP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1B365D"/>
      <sz val="15"/>
    </font>
    <font>
      <name val="Calibri"/>
      <i val="1"/>
      <color rgb="00475467"/>
      <sz val="10"/>
    </font>
    <font>
      <name val="Calibri"/>
      <b val="1"/>
      <color rgb="00842029"/>
      <sz val="11"/>
    </font>
    <font>
      <name val="Calibri"/>
      <i val="1"/>
      <color rgb="00842029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842029"/>
      <sz val="10"/>
    </font>
    <font>
      <name val="Calibri"/>
      <b val="1"/>
      <color rgb="000F5132"/>
      <sz val="10"/>
    </font>
    <font>
      <name val="Calibri"/>
      <b val="1"/>
      <color rgb="00FFFFFF"/>
      <sz val="11"/>
    </font>
    <font>
      <name val="Calibri"/>
      <i val="1"/>
      <sz val="9"/>
    </font>
    <font>
      <name val="Calibri"/>
      <b val="1"/>
      <color rgb="00000000"/>
      <sz val="11"/>
    </font>
    <font>
      <name val="Calibri"/>
      <i val="1"/>
      <color rgb="00667085"/>
      <sz val="9"/>
    </font>
    <font>
      <name val="Calibri"/>
      <b val="1"/>
      <color rgb="000F5132"/>
      <sz val="11"/>
    </font>
  </fonts>
  <fills count="7">
    <fill>
      <patternFill/>
    </fill>
    <fill>
      <patternFill patternType="gray125"/>
    </fill>
    <fill>
      <patternFill patternType="solid">
        <fgColor rgb="00F8D7DA"/>
        <bgColor rgb="00F8D7DA"/>
      </patternFill>
    </fill>
    <fill>
      <patternFill patternType="solid">
        <fgColor rgb="0034495E"/>
        <bgColor rgb="0034495E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8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10" fillId="6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right"/>
    </xf>
    <xf numFmtId="0" fontId="11" fillId="0" borderId="1" pivotButton="0" quotePrefix="0" xfId="0"/>
    <xf numFmtId="0" fontId="6" fillId="2" borderId="1" pivotButton="0" quotePrefix="0" xfId="0"/>
    <xf numFmtId="0" fontId="7" fillId="2" borderId="1" applyAlignment="1" pivotButton="0" quotePrefix="0" xfId="0">
      <alignment horizontal="center"/>
    </xf>
    <xf numFmtId="164" fontId="6" fillId="2" borderId="1" applyAlignment="1" pivotButton="0" quotePrefix="0" xfId="0">
      <alignment horizontal="right"/>
    </xf>
    <xf numFmtId="0" fontId="12" fillId="0" borderId="1" applyAlignment="1" pivotButton="0" quotePrefix="0" xfId="0">
      <alignment horizontal="center"/>
    </xf>
    <xf numFmtId="0" fontId="13" fillId="0" borderId="1" pivotButton="0" quotePrefix="0" xfId="0"/>
    <xf numFmtId="0" fontId="0" fillId="0" borderId="1" pivotButton="0" quotePrefix="0" xfId="0"/>
    <xf numFmtId="164" fontId="12" fillId="0" borderId="1" applyAlignment="1" pivotButton="0" quotePrefix="0" xfId="0">
      <alignment horizontal="center"/>
    </xf>
    <xf numFmtId="164" fontId="1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2" customWidth="1" min="3" max="3"/>
    <col width="32" customWidth="1" min="4" max="4"/>
    <col width="28" customWidth="1" min="5" max="5"/>
    <col width="30" customWidth="1" min="6" max="6"/>
    <col width="20" customWidth="1" min="7" max="7"/>
  </cols>
  <sheetData>
    <row r="2">
      <c r="A2" s="1" t="inlineStr">
        <is>
          <t>LECCIÓN DE UN PUNTO (OPL) | ESTÁNDAR VISUAL DE CALIDAD EN PISO</t>
        </is>
      </c>
    </row>
    <row r="3">
      <c r="A3" s="2" t="inlineStr">
        <is>
          <t>Código: OPL-CAL-003 | Revisión: 02 | Aprobado: Ing. Angelo Apolo (Jefe QA/QC &amp; Black Belt) | Líneas A &amp; B</t>
        </is>
      </c>
    </row>
    <row r="5">
      <c r="A5" s="3" t="inlineStr">
        <is>
          <t>⚠️ REGLA DE ORO DE PLANTA: PROHIBIDO RETRABAJAR DEFECTOS EN SEVERIDAD 3 (GRIETAS O DEFORMACIONES CRÍTICAS)</t>
        </is>
      </c>
    </row>
    <row r="6">
      <c r="A6" s="4" t="inlineStr">
        <is>
          <t>Más del 50% de las piezas graves fracasan en reproceso. Retrabajar cuesta $126.78 USD vs. $101.31 USD de Scrap directo. ¡Toda pieza severa va a Gaveta Roja!</t>
        </is>
      </c>
    </row>
    <row r="8" ht="32" customHeight="1">
      <c r="A8" s="5" t="inlineStr">
        <is>
          <t>Tipo de Defecto</t>
        </is>
      </c>
      <c r="B8" s="5" t="inlineStr">
        <is>
          <t>Severidad 1 (Leve)
🟢 GAVETA VERDE: REPROCESO</t>
        </is>
      </c>
      <c r="C8" s="5" t="inlineStr">
        <is>
          <t>Severidad 2 (Moderada)
🟡 GAVETA AMARILLA: EVALUAR</t>
        </is>
      </c>
      <c r="D8" s="5" t="inlineStr">
        <is>
          <t>Severidad 3 (Crítica / Estructural)
🔴 GAVETA ROJA: SCRAP DIRECTO</t>
        </is>
      </c>
      <c r="E8" s="5" t="inlineStr">
        <is>
          <t>Criterio Físico / Tolerancia</t>
        </is>
      </c>
      <c r="F8" s="5" t="inlineStr">
        <is>
          <t>Acción Inmediata en Línea</t>
        </is>
      </c>
      <c r="G8" s="5" t="inlineStr">
        <is>
          <t>Ahorro Evitado</t>
        </is>
      </c>
    </row>
    <row r="9" ht="42" customHeight="1">
      <c r="A9" s="6" t="inlineStr">
        <is>
          <t>Grieta / Fisura
(crack)</t>
        </is>
      </c>
      <c r="B9" s="7" t="inlineStr">
        <is>
          <t>Microfisura capilar no pasante (&lt;2 mm).
Éxito histórico: 82%</t>
        </is>
      </c>
      <c r="C9" s="8" t="inlineStr">
        <is>
          <t>Fisura superficial (2 - 5 mm).
Autorizado solo con máquina &lt;6 años.
Éxito histórico: 58%</t>
        </is>
      </c>
      <c r="D9" s="9" t="inlineStr">
        <is>
          <t>Fisura pasante o ramificada (&gt;5 mm).
Éxito: &lt;38% (Fracaso garantizado).</t>
        </is>
      </c>
      <c r="E9" s="10" t="inlineStr">
        <is>
          <t>Inspección con lupa 10x y líquido penetrante.</t>
        </is>
      </c>
      <c r="F9" s="10" t="inlineStr">
        <is>
          <t>Marcar con pintura roja indeleble y depositar en contenedor de Scrap.</t>
        </is>
      </c>
      <c r="G9" s="11" t="inlineStr">
        <is>
          <t>+$25.47 USD / pieza</t>
        </is>
      </c>
    </row>
    <row r="10" ht="42" customHeight="1">
      <c r="A10" s="6" t="inlineStr">
        <is>
          <t>Desviación Dimensional
(dimension)</t>
        </is>
      </c>
      <c r="B10" s="7" t="inlineStr">
        <is>
          <t>Desvío menor respecto a cota (±0.05 mm).
Éxito histórico: 88%</t>
        </is>
      </c>
      <c r="C10" s="8" t="inlineStr">
        <is>
          <t>Desvío moderado (±0.10 a 0.25 mm).
Requiere verificación de espesor de pared.
Éxito histórico: 76%</t>
        </is>
      </c>
      <c r="D10" s="9" t="inlineStr">
        <is>
          <t>Desvío crítico (&gt;0.30 mm) o falta de material.
Imposible recuperar tolerancia.</t>
        </is>
      </c>
      <c r="E10" s="10" t="inlineStr">
        <is>
          <t>Medición con micrómetro digital / galga pasa-no pasa.</t>
        </is>
      </c>
      <c r="F10" s="10" t="inlineStr">
        <is>
          <t>Ajuste de mordazas de máquina y verificación de setpoint.</t>
        </is>
      </c>
      <c r="G10" s="11" t="inlineStr">
        <is>
          <t>+$25.47 USD / pieza</t>
        </is>
      </c>
    </row>
    <row r="11" ht="42" customHeight="1">
      <c r="A11" s="6" t="inlineStr">
        <is>
          <t>Acabado Superficial
(finish)</t>
        </is>
      </c>
      <c r="B11" s="7" t="inlineStr">
        <is>
          <t>Rebaba menor o marca de enfriamiento.
Éxito histórico: 87%</t>
        </is>
      </c>
      <c r="C11" s="8" t="inlineStr">
        <is>
          <t>Textura irregular o mancha no penetrante.
Autorizado si no afecta cara de ensamble.
Éxito histórico: 72%</t>
        </is>
      </c>
      <c r="D11" s="9" t="inlineStr">
        <is>
          <t>Porosidad abierta o desgarre térmico.
Defecto penetra &gt;20% del espesor de pared.</t>
        </is>
      </c>
      <c r="E11" s="10" t="inlineStr">
        <is>
          <t>Comparación contra muestra patrón de rugosidad.</t>
        </is>
      </c>
      <c r="F11" s="10" t="inlineStr">
        <is>
          <t>Desbarbado manual en banco auxiliar (máximo 10 min).</t>
        </is>
      </c>
      <c r="G11" s="11" t="inlineStr">
        <is>
          <t>+$25.47 USD / pieza</t>
        </is>
      </c>
    </row>
    <row r="12" ht="42" customHeight="1">
      <c r="A12" s="6" t="inlineStr">
        <is>
          <t>Rayón / Abrasión
(scratch)</t>
        </is>
      </c>
      <c r="B12" s="7" t="inlineStr">
        <is>
          <t>Rayón leve que no traba la uña (&lt;0.05 mm).
Éxito histórico: 85%</t>
        </is>
      </c>
      <c r="C12" s="8" t="inlineStr">
        <is>
          <t>Rayón visible (0.05 - 0.15 mm).
Evaluar si compromete estanqueidad o sello.
Éxito histórico: 62%</t>
        </is>
      </c>
      <c r="D12" s="9" t="inlineStr">
        <is>
          <t>Surco profundo (&gt;0.20 mm) o daño en junta.
Riesgo crítico de reclamo a cliente.</t>
        </is>
      </c>
      <c r="E12" s="10" t="inlineStr">
        <is>
          <t>Inspección visual bajo luz halógena estandarizada.</t>
        </is>
      </c>
      <c r="F12" s="10" t="inlineStr">
        <is>
          <t>Pulido abrasivo solo en caras no funcionales.</t>
        </is>
      </c>
      <c r="G12" s="11" t="inlineStr">
        <is>
          <t>+$25.47 USD / pieza</t>
        </is>
      </c>
    </row>
    <row r="13" ht="42" customHeight="1">
      <c r="A13" s="6" t="inlineStr">
        <is>
          <t>Contaminación
(contamination)</t>
        </is>
      </c>
      <c r="B13" s="7" t="inlineStr">
        <is>
          <t>Partículas secas de polvo superficial.
Éxito histórico: 86%</t>
        </is>
      </c>
      <c r="C13" s="8" t="inlineStr">
        <is>
          <t>Mancha de lubricante o grasa lavable.
Requiere desengrase ultrasónico controlado.
Éxito histórico: 65%</t>
        </is>
      </c>
      <c r="D13" s="9" t="inlineStr">
        <is>
          <t>Inclusiones fundidas o viruta metálica incrustada.
Falla estructural irreparable.</t>
        </is>
      </c>
      <c r="E13" s="10" t="inlineStr">
        <is>
          <t>Verificación con hisopado e inspección óptica.</t>
        </is>
      </c>
      <c r="F13" s="10" t="inlineStr">
        <is>
          <t>Limpieza neumática en estación de soplado.</t>
        </is>
      </c>
      <c r="G13" s="11" t="inlineStr">
        <is>
          <t>+$25.47 USD / pieza</t>
        </is>
      </c>
    </row>
  </sheetData>
  <mergeCells count="4">
    <mergeCell ref="A3:G3"/>
    <mergeCell ref="A2:G2"/>
    <mergeCell ref="A6:G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8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2" customWidth="1" min="3" max="3"/>
    <col width="22" customWidth="1" min="4" max="4"/>
    <col width="45" customWidth="1" min="5" max="5"/>
  </cols>
  <sheetData>
    <row r="2">
      <c r="A2" s="1" t="inlineStr">
        <is>
          <t>CUADRO EJECUTIVO: COSTO DE NO CALIDAD (COPQ) Y RETORNO FINANCIERO</t>
        </is>
      </c>
    </row>
    <row r="3">
      <c r="A3" s="12" t="inlineStr">
        <is>
          <t>Auditoría de 10,000 Eventos de Producción | Ahorro a Capex Cero por Optimización de Decisiones de Calidad</t>
        </is>
      </c>
    </row>
    <row r="5">
      <c r="A5" s="13" t="inlineStr">
        <is>
          <t>1. MATRIZ DE COSTO UNITARIO SEGÚN DESENLACE OPERATIVO</t>
        </is>
      </c>
    </row>
    <row r="6">
      <c r="A6" s="14" t="inlineStr">
        <is>
          <t>Desenlace Operativo</t>
        </is>
      </c>
      <c r="B6" s="14" t="inlineStr">
        <is>
          <t>Eventos en Muestra</t>
        </is>
      </c>
      <c r="C6" s="14" t="inlineStr">
        <is>
          <t>Costo Medio USD</t>
        </is>
      </c>
      <c r="D6" s="14" t="inlineStr">
        <is>
          <t>Costo Total USD</t>
        </is>
      </c>
      <c r="E6" s="14" t="inlineStr">
        <is>
          <t>Comportamiento en Planta</t>
        </is>
      </c>
    </row>
    <row r="7">
      <c r="A7" s="15" t="inlineStr">
        <is>
          <t>1. Aprobado Directo</t>
        </is>
      </c>
      <c r="B7" s="16" t="n">
        <v>6728</v>
      </c>
      <c r="C7" s="17" t="n">
        <v>23.54</v>
      </c>
      <c r="D7" s="17">
        <f>B7*C7</f>
        <v/>
      </c>
      <c r="E7" s="18" t="inlineStr">
        <is>
          <t>Flujo de calidad conforme a primera pasada (Right First Time).</t>
        </is>
      </c>
    </row>
    <row r="8">
      <c r="A8" s="15" t="inlineStr">
        <is>
          <t>2. Retrabajo Exitoso</t>
        </is>
      </c>
      <c r="B8" s="16" t="n">
        <v>2033</v>
      </c>
      <c r="C8" s="17" t="n">
        <v>36.67</v>
      </c>
      <c r="D8" s="17">
        <f>B8*C8</f>
        <v/>
      </c>
      <c r="E8" s="18" t="inlineStr">
        <is>
          <t>Recuperación económica rentable en banco auxiliar.</t>
        </is>
      </c>
    </row>
    <row r="9">
      <c r="A9" s="15" t="inlineStr">
        <is>
          <t>3. Scrap Directo</t>
        </is>
      </c>
      <c r="B9" s="16" t="n">
        <v>57</v>
      </c>
      <c r="C9" s="17" t="n">
        <v>101.31</v>
      </c>
      <c r="D9" s="17">
        <f>B9*C9</f>
        <v/>
      </c>
      <c r="E9" s="18" t="inlineStr">
        <is>
          <t>Pérdida de material contenida inmediatamente.</t>
        </is>
      </c>
    </row>
    <row r="10">
      <c r="A10" s="19" t="inlineStr">
        <is>
          <t>4. Retrabajo Fallido (Scrap)</t>
        </is>
      </c>
      <c r="B10" s="20" t="n">
        <v>191</v>
      </c>
      <c r="C10" s="21" t="n">
        <v>126.78</v>
      </c>
      <c r="D10" s="21">
        <f>B10*C10</f>
        <v/>
      </c>
      <c r="E10" s="18" t="inlineStr">
        <is>
          <t>PÉRDIDA DOBLE: Material destruido + mano de obra + energía.</t>
        </is>
      </c>
    </row>
    <row r="13">
      <c r="A13" s="13" t="inlineStr">
        <is>
          <t>2. CUANTIFICACIÓN DEL IMPACTO FINANCIERO AHORRADO</t>
        </is>
      </c>
    </row>
    <row r="14">
      <c r="A14" s="15" t="inlineStr">
        <is>
          <t>Piezas en Scrap Doble Costo Erradicadas:</t>
        </is>
      </c>
      <c r="B14" s="22" t="n">
        <v>191</v>
      </c>
      <c r="C14" s="23" t="inlineStr">
        <is>
          <t>Unidades severas no reprocesadas</t>
        </is>
      </c>
      <c r="D14" s="24" t="n"/>
      <c r="E14" s="24" t="n"/>
    </row>
    <row r="15">
      <c r="A15" s="15" t="inlineStr">
        <is>
          <t>Sobrecosto Evitado por Unidad:</t>
        </is>
      </c>
      <c r="B15" s="25" t="n">
        <v>25.47</v>
      </c>
      <c r="C15" s="23" t="inlineStr">
        <is>
          <t>Diferencia ($126.78 - $101.31 USD)</t>
        </is>
      </c>
      <c r="D15" s="24" t="n"/>
      <c r="E15" s="24" t="n"/>
    </row>
    <row r="16">
      <c r="A16" s="15" t="inlineStr">
        <is>
          <t>Ahorro Neto Auditado en Muestra (10k eventos):</t>
        </is>
      </c>
      <c r="B16" s="26">
        <f>B14*B15</f>
        <v/>
      </c>
      <c r="C16" s="23" t="inlineStr">
        <is>
          <t>Ahorro directo inmediato</t>
        </is>
      </c>
      <c r="D16" s="24" t="n"/>
      <c r="E16" s="24" t="n"/>
    </row>
    <row r="17">
      <c r="A17" s="15" t="inlineStr">
        <is>
          <t>Horas Hombre Productivas Recuperadas:</t>
        </is>
      </c>
      <c r="B17" s="22" t="n">
        <v>78</v>
      </c>
      <c r="C17" s="23" t="inlineStr">
        <is>
          <t>Horas de operario devueltas a línea</t>
        </is>
      </c>
      <c r="D17" s="24" t="n"/>
      <c r="E17" s="24" t="n"/>
    </row>
    <row r="18">
      <c r="A18" s="15" t="inlineStr">
        <is>
          <t>Ahorro Anualizado Proyectado (100k eventos/año):</t>
        </is>
      </c>
      <c r="B18" s="26">
        <f>B16*10</f>
        <v/>
      </c>
      <c r="C18" s="23" t="inlineStr">
        <is>
          <t>Impacto EBITDA anual a Capex Cero</t>
        </is>
      </c>
      <c r="D18" s="24" t="n"/>
      <c r="E18" s="24" t="n"/>
    </row>
  </sheetData>
  <mergeCells count="9">
    <mergeCell ref="C16:E16"/>
    <mergeCell ref="A2:F2"/>
    <mergeCell ref="C14:E14"/>
    <mergeCell ref="C18:E18"/>
    <mergeCell ref="A5:E5"/>
    <mergeCell ref="C17:E17"/>
    <mergeCell ref="A13:E13"/>
    <mergeCell ref="A3:F3"/>
    <mergeCell ref="C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2026-09-16T15:52:13Z</dcterms:created>
  <dcterms:modified xmlns:dcterms="http://purl.org/dc/terms/" xmlns:xsi="http://www.w3.org/2001/XMLSchema-instance" xsi:type="dcterms:W3CDTF">2026-09-16T15:52:13Z</dcterms:modified>
</cp:coreProperties>
</file>