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maforo_Decision_Pi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+$#,##0.00;-$#,##0.00;$0.00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475467"/>
      <sz val="11"/>
    </font>
    <font>
      <name val="Calibri"/>
      <b val="1"/>
      <color rgb="00FFFFFF"/>
      <sz val="12"/>
    </font>
    <font>
      <name val="Calibri"/>
      <b val="1"/>
      <sz val="11"/>
    </font>
    <font>
      <name val="Calibri"/>
      <i val="1"/>
      <color rgb="00667085"/>
      <sz val="9"/>
    </font>
    <font>
      <name val="Calibri"/>
      <b val="1"/>
      <sz val="12"/>
    </font>
    <font>
      <name val="Calibri"/>
      <b val="1"/>
      <sz val="14"/>
    </font>
    <font>
      <name val="Calibri"/>
      <b val="1"/>
      <color rgb="000F5132"/>
      <sz val="12"/>
    </font>
    <font>
      <name val="Calibri"/>
      <b val="1"/>
      <color rgb="00FFFFFF"/>
      <sz val="10"/>
    </font>
    <font>
      <name val="Calibri"/>
      <sz val="11"/>
    </font>
    <font>
      <name val="Calibri"/>
      <i val="1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4FD"/>
        <bgColor rgb="00E8F4FD"/>
      </patternFill>
    </fill>
    <fill>
      <patternFill patternType="solid">
        <fgColor rgb="0034495E"/>
        <bgColor rgb="0034495E"/>
      </patternFill>
    </fill>
    <fill>
      <patternFill patternType="solid">
        <fgColor rgb="00D1E7DD"/>
        <bgColor rgb="00D1E7DD"/>
      </patternFill>
    </fill>
    <fill>
      <patternFill patternType="solid">
        <fgColor rgb="00F8D7DA"/>
        <bgColor rgb="00F8D7DA"/>
      </patternFill>
    </fill>
    <fill>
      <patternFill patternType="solid">
        <fgColor rgb="00FFF3CD"/>
        <bgColor rgb="00FFF3CD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4" fillId="0" borderId="1" applyAlignment="1" pivotButton="0" quotePrefix="0" xfId="0">
      <alignment horizontal="center"/>
    </xf>
    <xf numFmtId="166" fontId="8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11" fillId="0" borderId="1" applyAlignment="1" pivotButton="0" quotePrefix="0" xfId="0">
      <alignment vertical="center"/>
    </xf>
    <xf numFmtId="0" fontId="1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26" customWidth="1" min="3" max="3"/>
    <col width="26" customWidth="1" min="4" max="4"/>
    <col width="26" customWidth="1" min="5" max="5"/>
    <col width="22" customWidth="1" min="6" max="6"/>
    <col width="22" customWidth="1" min="7" max="7"/>
    <col width="22" customWidth="1" min="8" max="8"/>
  </cols>
  <sheetData>
    <row r="2">
      <c r="B2" s="1" t="inlineStr">
        <is>
          <t>HERRAMIENTA DE DECISIÓN EN PISO: SEMÁFORO RETRABAJO VS. SCRAP</t>
        </is>
      </c>
    </row>
    <row r="3">
      <c r="B3" s="2" t="inlineStr">
        <is>
          <t>Aseguramiento de Calidad &amp; Control de Costos (COPQ) | Ing. Angelo Apolo</t>
        </is>
      </c>
    </row>
    <row r="5">
      <c r="B5" s="3" t="inlineStr">
        <is>
          <t>1. PARÁMETROS DE INSPECCIÓN EN LÍNEA</t>
        </is>
      </c>
      <c r="F5" s="3" t="inlineStr">
        <is>
          <t>2. RECOMENDACIÓN OPERATIVA (SEMÁFORO)</t>
        </is>
      </c>
    </row>
    <row r="6">
      <c r="B6" s="4" t="inlineStr">
        <is>
          <t>Tipo de Defecto:</t>
        </is>
      </c>
      <c r="C6" s="5" t="inlineStr">
        <is>
          <t>Grieta / Fisura</t>
        </is>
      </c>
      <c r="D6" s="6" t="inlineStr">
        <is>
          <t>Opciones: Dimensión / Acabado / Grieta / Rayón / Contaminación</t>
        </is>
      </c>
      <c r="F6" s="4" t="inlineStr">
        <is>
          <t>Probabilidad Estimada de Éxito:</t>
        </is>
      </c>
      <c r="G6" s="7">
        <f>MAX(0.05, MIN(0.98, 1.15 - (C7*0.24) - (C9*0.012) - ((C10-100)*0.0015) + IF(C8="Visión Artificial", 0.05, IF(C8="Sensor", 0.02, 0))))</f>
        <v/>
      </c>
    </row>
    <row r="7">
      <c r="B7" s="4" t="inlineStr">
        <is>
          <t>Severidad del Defecto (1 a 3):</t>
        </is>
      </c>
      <c r="C7" s="5" t="n">
        <v>2</v>
      </c>
      <c r="D7" s="6" t="inlineStr">
        <is>
          <t>1 = Leve | 2 = Moderado | 3 = Crítico/Estructural</t>
        </is>
      </c>
      <c r="F7" s="8" t="inlineStr">
        <is>
          <t>DICTAMEN EN PISO:</t>
        </is>
      </c>
      <c r="G7" s="9">
        <f>IF(C7=3, "🔴 SCRAP DIRECTO", IF(G6&gt;=0.75, "🟢 RETRABAJAR", IF(G6&gt;=0.55, "🟡 EVALUAR SUPERVISOR", "🔴 SCRAP DIRECTO")))</f>
        <v/>
      </c>
    </row>
    <row r="8">
      <c r="B8" s="4" t="inlineStr">
        <is>
          <t>Método de Inspección:</t>
        </is>
      </c>
      <c r="C8" s="5" t="inlineStr">
        <is>
          <t>Visión Artificial</t>
        </is>
      </c>
      <c r="D8" s="6" t="inlineStr">
        <is>
          <t>Manual / Sensor / Visión Artificial</t>
        </is>
      </c>
      <c r="F8" s="10" t="n"/>
    </row>
    <row r="9">
      <c r="B9" s="4" t="inlineStr">
        <is>
          <t>Antigüedad de Máquina (años):</t>
        </is>
      </c>
      <c r="C9" s="5" t="n">
        <v>5</v>
      </c>
      <c r="D9" s="6" t="inlineStr">
        <is>
          <t>Promedio planta: 6.0 años</t>
        </is>
      </c>
      <c r="F9" s="4" t="inlineStr">
        <is>
          <t>Costo Esperado si se Retrabaja:</t>
        </is>
      </c>
      <c r="G9" s="11">
        <f>(G6*36.67) + ((1-G6)*126.78)</f>
        <v/>
      </c>
    </row>
    <row r="10">
      <c r="B10" s="4" t="inlineStr">
        <is>
          <t>Velocidad de Operación (u/h):</t>
        </is>
      </c>
      <c r="C10" s="5" t="n">
        <v>125</v>
      </c>
      <c r="D10" s="6" t="inlineStr">
        <is>
          <t>Nominal: 115 u/h (Forzada: &gt;135 u/h)</t>
        </is>
      </c>
      <c r="F10" s="4" t="inlineStr">
        <is>
          <t>Costo si se envía a Scrap Directo:</t>
        </is>
      </c>
      <c r="G10" s="11" t="n">
        <v>101.31</v>
      </c>
    </row>
    <row r="11">
      <c r="B11" s="4" t="inlineStr">
        <is>
          <t>Grado de Materia Prima:</t>
        </is>
      </c>
      <c r="C11" s="5" t="inlineStr">
        <is>
          <t>Grado B</t>
        </is>
      </c>
      <c r="D11" s="6" t="inlineStr">
        <is>
          <t>Grado A (Premium) / Grado B / Grado C</t>
        </is>
      </c>
      <c r="F11" s="4" t="inlineStr">
        <is>
          <t>Beneficio Neto de la Decisión:</t>
        </is>
      </c>
      <c r="G11" s="12">
        <f>IF(LEFT(G7,1)="🔴", 126.78 - 101.31, 101.31 - G9)</f>
        <v/>
      </c>
    </row>
    <row r="14">
      <c r="B14" s="3" t="inlineStr">
        <is>
          <t>3. TABLA GUÍA RÁPIDA DE DECISIÓN SEGÚN SEVERIDAD Y DEFECTO</t>
        </is>
      </c>
    </row>
    <row r="15">
      <c r="B15" s="13" t="inlineStr">
        <is>
          <t>Tipo de Defecto</t>
        </is>
      </c>
      <c r="C15" s="13" t="inlineStr">
        <is>
          <t>Severidad 1 (Leve)</t>
        </is>
      </c>
      <c r="D15" s="13" t="inlineStr">
        <is>
          <t>Severidad 2 (Moderado)</t>
        </is>
      </c>
      <c r="E15" s="13" t="inlineStr">
        <is>
          <t>Severidad 3 (Grave/Estructural)</t>
        </is>
      </c>
      <c r="F15" s="13" t="inlineStr">
        <is>
          <t>Regla Operativa de Planta</t>
        </is>
      </c>
      <c r="G15" s="14" t="n"/>
      <c r="H15" s="15" t="n"/>
    </row>
    <row r="16">
      <c r="B16" s="4" t="inlineStr">
        <is>
          <t>Dimensión / Tolerancia</t>
        </is>
      </c>
      <c r="C16" s="16" t="inlineStr">
        <is>
          <t>🟢 Retrabajar (88% éxito)</t>
        </is>
      </c>
      <c r="D16" s="16" t="inlineStr">
        <is>
          <t>🟢 Retrabajar (76% éxito)</t>
        </is>
      </c>
      <c r="E16" s="17" t="inlineStr">
        <is>
          <t>🔴 Scrap Directo (&lt;48%)</t>
        </is>
      </c>
      <c r="F16" s="18" t="inlineStr">
        <is>
          <t>Ajuste de mordazas y calibración en línea.</t>
        </is>
      </c>
      <c r="H16" s="10" t="n"/>
    </row>
    <row r="17">
      <c r="B17" s="4" t="inlineStr">
        <is>
          <t>Acabado Superficial</t>
        </is>
      </c>
      <c r="C17" s="16" t="inlineStr">
        <is>
          <t>🟢 Retrabajar (87% éxito)</t>
        </is>
      </c>
      <c r="D17" s="16" t="inlineStr">
        <is>
          <t>🟢 Retrabajar (72% éxito)</t>
        </is>
      </c>
      <c r="E17" s="17" t="inlineStr">
        <is>
          <t>🔴 Scrap Directo (&lt;48%)</t>
        </is>
      </c>
      <c r="F17" s="18" t="inlineStr">
        <is>
          <t>Pulido o reacondicionado térmico permitido.</t>
        </is>
      </c>
      <c r="H17" s="10" t="n"/>
    </row>
    <row r="18">
      <c r="B18" s="4" t="inlineStr">
        <is>
          <t>Contaminación</t>
        </is>
      </c>
      <c r="C18" s="16" t="inlineStr">
        <is>
          <t>🟢 Retrabajar (86% éxito)</t>
        </is>
      </c>
      <c r="D18" s="19" t="inlineStr">
        <is>
          <t>🟡 Evaluar (65% éxito)</t>
        </is>
      </c>
      <c r="E18" s="17" t="inlineStr">
        <is>
          <t>🔴 Scrap Directo (&lt;45%)</t>
        </is>
      </c>
      <c r="F18" s="18" t="inlineStr">
        <is>
          <t>Limpieza solo si no penetra matriz del material.</t>
        </is>
      </c>
      <c r="H18" s="10" t="n"/>
    </row>
    <row r="19">
      <c r="B19" s="4" t="inlineStr">
        <is>
          <t>Rayón Profundo</t>
        </is>
      </c>
      <c r="C19" s="16" t="inlineStr">
        <is>
          <t>🟢 Retrabajar (85% éxito)</t>
        </is>
      </c>
      <c r="D19" s="19" t="inlineStr">
        <is>
          <t>🟡 Evaluar (62% éxito)</t>
        </is>
      </c>
      <c r="E19" s="17" t="inlineStr">
        <is>
          <t>🔴 Scrap Directo (&lt;42%)</t>
        </is>
      </c>
      <c r="F19" s="18" t="inlineStr">
        <is>
          <t>Inspección de guías mecánicas y rodillos.</t>
        </is>
      </c>
      <c r="H19" s="10" t="n"/>
    </row>
    <row r="20">
      <c r="B20" s="4" t="inlineStr">
        <is>
          <t>Grieta / Fisura</t>
        </is>
      </c>
      <c r="C20" s="16" t="inlineStr">
        <is>
          <t>🟢 Retrabajar (82% éxito)</t>
        </is>
      </c>
      <c r="D20" s="19" t="inlineStr">
        <is>
          <t>🟡 Evaluar (58% éxito)</t>
        </is>
      </c>
      <c r="E20" s="17" t="inlineStr">
        <is>
          <t>🔴 Scrap Directo (&lt;38%)</t>
        </is>
      </c>
      <c r="F20" s="18" t="inlineStr">
        <is>
          <t>PÉRDIDA ESTRUCTURAL: Riesgo crítico de escape a cliente.</t>
        </is>
      </c>
      <c r="H20" s="10" t="n"/>
    </row>
  </sheetData>
  <mergeCells count="13">
    <mergeCell ref="F20:H20"/>
    <mergeCell ref="B14:H14"/>
    <mergeCell ref="F16:H16"/>
    <mergeCell ref="B5:D5"/>
    <mergeCell ref="G7:H8"/>
    <mergeCell ref="F5:H5"/>
    <mergeCell ref="F19:H19"/>
    <mergeCell ref="F18:H18"/>
    <mergeCell ref="B2:H2"/>
    <mergeCell ref="F17:H17"/>
    <mergeCell ref="F7:F8"/>
    <mergeCell ref="B3:H3"/>
    <mergeCell ref="F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2026-09-16T05:27:13Z</dcterms:created>
  <dcterms:modified xmlns:dcterms="http://purl.org/dc/terms/" xmlns:xsi="http://www.w3.org/2001/XMLSchema-instance" xsi:type="dcterms:W3CDTF">2026-09-16T05:27:13Z</dcterms:modified>
</cp:coreProperties>
</file>